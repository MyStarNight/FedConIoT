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4mem\AI-project\FedConIoT\result\"/>
    </mc:Choice>
  </mc:AlternateContent>
  <xr:revisionPtr revIDLastSave="0" documentId="13_ncr:1_{683FD768-D6FE-489A-8848-37B624325EF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P5" i="2"/>
  <c r="O6" i="2"/>
  <c r="P6" i="2"/>
  <c r="O7" i="2"/>
  <c r="P7" i="2"/>
  <c r="O8" i="2"/>
  <c r="P8" i="2"/>
  <c r="O9" i="2"/>
  <c r="P9" i="2"/>
  <c r="O10" i="2"/>
  <c r="P10" i="2"/>
  <c r="P11" i="2"/>
  <c r="H5" i="2"/>
  <c r="I5" i="2" s="1"/>
  <c r="H6" i="2"/>
  <c r="I6" i="2" s="1"/>
  <c r="H7" i="2"/>
  <c r="I7" i="2" s="1"/>
  <c r="H8" i="2"/>
  <c r="I8" i="2"/>
  <c r="H9" i="2"/>
  <c r="I9" i="2"/>
  <c r="H10" i="2"/>
  <c r="I10" i="2"/>
  <c r="H11" i="2"/>
  <c r="I11" i="2" s="1"/>
  <c r="N6" i="2"/>
  <c r="N7" i="2"/>
  <c r="N8" i="2"/>
  <c r="N9" i="2"/>
  <c r="N10" i="2"/>
  <c r="M5" i="2"/>
  <c r="N5" i="2" s="1"/>
  <c r="M6" i="2"/>
  <c r="M7" i="2"/>
  <c r="M8" i="2"/>
  <c r="M9" i="2"/>
  <c r="M10" i="2"/>
  <c r="M11" i="2"/>
  <c r="N11" i="2" s="1"/>
  <c r="M4" i="2"/>
  <c r="N4" i="2"/>
  <c r="O4" i="2"/>
  <c r="P4" i="2"/>
  <c r="H4" i="2"/>
  <c r="I4" i="2" s="1"/>
  <c r="N3" i="2"/>
  <c r="N2" i="2"/>
  <c r="I3" i="2"/>
  <c r="I2" i="2"/>
  <c r="O3" i="2"/>
  <c r="P3" i="2"/>
  <c r="H3" i="2"/>
  <c r="M3" i="2"/>
  <c r="P2" i="2"/>
  <c r="O2" i="2"/>
  <c r="M2" i="2"/>
  <c r="H2" i="2"/>
  <c r="D6" i="2"/>
  <c r="D5" i="2"/>
  <c r="H10" i="1"/>
  <c r="I10" i="1" s="1"/>
  <c r="H11" i="1"/>
  <c r="I11" i="1" s="1"/>
  <c r="H4" i="1"/>
  <c r="I4" i="1" s="1"/>
  <c r="H9" i="1"/>
  <c r="I9" i="1" s="1"/>
  <c r="O9" i="1" s="1"/>
  <c r="H8" i="1"/>
  <c r="I8" i="1" s="1"/>
  <c r="H7" i="1"/>
  <c r="I7" i="1" s="1"/>
  <c r="H3" i="1"/>
  <c r="I3" i="1" s="1"/>
  <c r="H5" i="1"/>
  <c r="H6" i="1"/>
  <c r="M6" i="1"/>
  <c r="M7" i="1"/>
  <c r="N7" i="1" s="1"/>
  <c r="M8" i="1"/>
  <c r="N8" i="1" s="1"/>
  <c r="M9" i="1"/>
  <c r="N9" i="1" s="1"/>
  <c r="M10" i="1"/>
  <c r="N10" i="1" s="1"/>
  <c r="M11" i="1"/>
  <c r="N11" i="1" s="1"/>
  <c r="D6" i="1"/>
  <c r="N6" i="1" s="1"/>
  <c r="D5" i="1"/>
  <c r="I5" i="1" s="1"/>
  <c r="M5" i="1"/>
  <c r="M4" i="1"/>
  <c r="N4" i="1" s="1"/>
  <c r="M2" i="1"/>
  <c r="N2" i="1" s="1"/>
  <c r="H2" i="1"/>
  <c r="I2" i="1" s="1"/>
  <c r="J3" i="1"/>
  <c r="K3" i="1"/>
  <c r="L3" i="1"/>
  <c r="N5" i="1" l="1"/>
  <c r="O5" i="1" s="1"/>
  <c r="O10" i="1"/>
  <c r="O8" i="1"/>
  <c r="O7" i="1"/>
  <c r="O4" i="1"/>
  <c r="I6" i="1"/>
  <c r="O6" i="1" s="1"/>
  <c r="M3" i="1"/>
  <c r="N3" i="1" s="1"/>
  <c r="O3" i="1" s="1"/>
  <c r="O11" i="2"/>
  <c r="O5" i="2"/>
  <c r="O11" i="1"/>
  <c r="O2" i="1"/>
</calcChain>
</file>

<file path=xl/sharedStrings.xml><?xml version="1.0" encoding="utf-8"?>
<sst xmlns="http://schemas.openxmlformats.org/spreadsheetml/2006/main" count="62" uniqueCount="31">
  <si>
    <t>Device Number</t>
    <phoneticPr fontId="1" type="noConversion"/>
  </si>
  <si>
    <t>Device Couple</t>
    <phoneticPr fontId="1" type="noConversion"/>
  </si>
  <si>
    <t>Improvement</t>
    <phoneticPr fontId="1" type="noConversion"/>
  </si>
  <si>
    <t>5R</t>
    <phoneticPr fontId="1" type="noConversion"/>
  </si>
  <si>
    <t>5J</t>
    <phoneticPr fontId="1" type="noConversion"/>
  </si>
  <si>
    <t>Seed</t>
    <phoneticPr fontId="1" type="noConversion"/>
  </si>
  <si>
    <t>Aggregator Number</t>
    <phoneticPr fontId="1" type="noConversion"/>
  </si>
  <si>
    <t>7R</t>
    <phoneticPr fontId="1" type="noConversion"/>
  </si>
  <si>
    <t>10R</t>
    <phoneticPr fontId="1" type="noConversion"/>
  </si>
  <si>
    <t>5J+5R</t>
    <phoneticPr fontId="1" type="noConversion"/>
  </si>
  <si>
    <t>5J+8R</t>
    <phoneticPr fontId="1" type="noConversion"/>
  </si>
  <si>
    <t>3J+10R</t>
    <phoneticPr fontId="1" type="noConversion"/>
  </si>
  <si>
    <t>5J+10R</t>
    <phoneticPr fontId="1" type="noConversion"/>
  </si>
  <si>
    <t>CFL Pull Time</t>
    <phoneticPr fontId="1" type="noConversion"/>
  </si>
  <si>
    <t>CFL Push Time</t>
    <phoneticPr fontId="1" type="noConversion"/>
  </si>
  <si>
    <t>CFL Train Time</t>
    <phoneticPr fontId="1" type="noConversion"/>
  </si>
  <si>
    <t>CFL Full Time</t>
    <phoneticPr fontId="1" type="noConversion"/>
  </si>
  <si>
    <t>DFL Pull Time</t>
    <phoneticPr fontId="1" type="noConversion"/>
  </si>
  <si>
    <t>DFL Push Time</t>
    <phoneticPr fontId="1" type="noConversion"/>
  </si>
  <si>
    <t>DFL Train Time</t>
    <phoneticPr fontId="1" type="noConversion"/>
  </si>
  <si>
    <t>DFL Full Time</t>
    <phoneticPr fontId="1" type="noConversion"/>
  </si>
  <si>
    <t>Samples</t>
    <phoneticPr fontId="1" type="noConversion"/>
  </si>
  <si>
    <t>local epochs</t>
    <phoneticPr fontId="1" type="noConversion"/>
  </si>
  <si>
    <t>training rounds</t>
    <phoneticPr fontId="1" type="noConversion"/>
  </si>
  <si>
    <t>3J+4R</t>
    <phoneticPr fontId="1" type="noConversion"/>
  </si>
  <si>
    <t>5J+2R</t>
    <phoneticPr fontId="1" type="noConversion"/>
  </si>
  <si>
    <t>batch size</t>
    <phoneticPr fontId="1" type="noConversion"/>
  </si>
  <si>
    <t>learning rate</t>
    <phoneticPr fontId="1" type="noConversion"/>
  </si>
  <si>
    <t>CFL Efficiency</t>
    <phoneticPr fontId="1" type="noConversion"/>
  </si>
  <si>
    <t>DFL Efficency</t>
    <phoneticPr fontId="1" type="noConversion"/>
  </si>
  <si>
    <t>Communication Improvement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</si>
</sst>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rgb="FF9C0006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0" xfId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3" fillId="3" borderId="1" xfId="2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2" borderId="1" xfId="1" applyNumberFormat="1" applyBorder="1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-5J-dfl/time_2024-06-25_16-25-0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_2024-06-25_16-25-03"/>
    </sheetNames>
    <sheetDataSet>
      <sheetData sheetId="0" refreshError="1">
        <row r="52">
          <cell r="B52">
            <v>2.6219451</v>
          </cell>
          <cell r="C52">
            <v>1.9992217999999999</v>
          </cell>
          <cell r="D52">
            <v>2.6938581400000001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85" zoomScaleNormal="85" workbookViewId="0">
      <selection activeCell="A2" sqref="A2:A11"/>
    </sheetView>
  </sheetViews>
  <sheetFormatPr defaultColWidth="8.9140625" defaultRowHeight="14" x14ac:dyDescent="0.3"/>
  <cols>
    <col min="1" max="1" width="15.08203125" style="1" bestFit="1" customWidth="1"/>
    <col min="2" max="2" width="19.6640625" style="1" bestFit="1" customWidth="1"/>
    <col min="3" max="3" width="14" style="1" bestFit="1" customWidth="1"/>
    <col min="4" max="4" width="14" style="1" customWidth="1"/>
    <col min="5" max="6" width="13.33203125" style="1" bestFit="1" customWidth="1"/>
    <col min="7" max="7" width="14.33203125" style="1" bestFit="1" customWidth="1"/>
    <col min="8" max="8" width="14.33203125" style="1" customWidth="1"/>
    <col min="9" max="9" width="21.4140625" style="20" bestFit="1" customWidth="1"/>
    <col min="10" max="10" width="13.33203125" style="1" bestFit="1" customWidth="1"/>
    <col min="11" max="11" width="14.33203125" style="1" bestFit="1" customWidth="1"/>
    <col min="12" max="12" width="14.4140625" style="1" bestFit="1" customWidth="1"/>
    <col min="13" max="13" width="13.08203125" style="1" bestFit="1" customWidth="1"/>
    <col min="14" max="14" width="21.08203125" style="20" bestFit="1" customWidth="1"/>
    <col min="15" max="15" width="13.4140625" style="1" bestFit="1" customWidth="1"/>
    <col min="16" max="16" width="31.25" style="1" bestFit="1" customWidth="1"/>
    <col min="17" max="16384" width="8.9140625" style="1"/>
  </cols>
  <sheetData>
    <row r="1" spans="1:17" x14ac:dyDescent="0.3">
      <c r="A1" s="2" t="s">
        <v>0</v>
      </c>
      <c r="B1" s="2" t="s">
        <v>6</v>
      </c>
      <c r="C1" s="2" t="s">
        <v>1</v>
      </c>
      <c r="D1" s="2" t="s">
        <v>21</v>
      </c>
      <c r="E1" s="3" t="s">
        <v>13</v>
      </c>
      <c r="F1" s="3" t="s">
        <v>15</v>
      </c>
      <c r="G1" s="3" t="s">
        <v>14</v>
      </c>
      <c r="H1" s="7" t="s">
        <v>16</v>
      </c>
      <c r="I1" s="19" t="s">
        <v>28</v>
      </c>
      <c r="J1" s="4" t="s">
        <v>17</v>
      </c>
      <c r="K1" s="4" t="s">
        <v>19</v>
      </c>
      <c r="L1" s="4" t="s">
        <v>18</v>
      </c>
      <c r="M1" s="8" t="s">
        <v>20</v>
      </c>
      <c r="N1" s="21" t="s">
        <v>29</v>
      </c>
      <c r="O1" s="9" t="s">
        <v>2</v>
      </c>
      <c r="P1" s="9" t="s">
        <v>30</v>
      </c>
      <c r="Q1" s="2" t="s">
        <v>5</v>
      </c>
    </row>
    <row r="2" spans="1:17" x14ac:dyDescent="0.3">
      <c r="A2" s="16">
        <v>5</v>
      </c>
      <c r="B2" s="16">
        <v>2</v>
      </c>
      <c r="C2" s="2" t="s">
        <v>3</v>
      </c>
      <c r="D2" s="2">
        <v>1000</v>
      </c>
      <c r="E2" s="3">
        <v>4.7895484599999989</v>
      </c>
      <c r="F2" s="3">
        <v>18.93348666</v>
      </c>
      <c r="G2" s="3">
        <v>6.3421651599999995</v>
      </c>
      <c r="H2" s="7">
        <f>SUM(E2:G2)</f>
        <v>30.065200279999999</v>
      </c>
      <c r="I2" s="19">
        <f t="shared" ref="I2:I11" si="0">D2*3/H2</f>
        <v>99.783137050833574</v>
      </c>
      <c r="J2" s="4">
        <v>4.0200503000000003</v>
      </c>
      <c r="K2" s="4">
        <v>16.827052800000001</v>
      </c>
      <c r="L2" s="5">
        <v>3.5834891799999995</v>
      </c>
      <c r="M2" s="8">
        <f>SUM(J2:L2)</f>
        <v>24.430592280000003</v>
      </c>
      <c r="N2" s="21">
        <f t="shared" ref="N2:N11" si="1">D2*3/M2</f>
        <v>122.79685918445526</v>
      </c>
      <c r="O2" s="9">
        <f t="shared" ref="O2:O11" si="2">(N2-I2)/I2</f>
        <v>0.23063738837853495</v>
      </c>
      <c r="P2" s="9">
        <f>((E2+G2)-J2-L2)/(E2+G2)</f>
        <v>0.31694797947919179</v>
      </c>
      <c r="Q2" s="2">
        <v>77</v>
      </c>
    </row>
    <row r="3" spans="1:17" x14ac:dyDescent="0.3">
      <c r="A3" s="17"/>
      <c r="B3" s="17"/>
      <c r="C3" s="2" t="s">
        <v>4</v>
      </c>
      <c r="D3" s="2">
        <v>2777</v>
      </c>
      <c r="E3" s="3">
        <v>3.1418664400000007</v>
      </c>
      <c r="F3" s="3">
        <v>2.1518541200000003</v>
      </c>
      <c r="G3" s="3">
        <v>3.44892668</v>
      </c>
      <c r="H3" s="7">
        <f t="shared" ref="H3:H11" si="3">SUM(E3:G3)</f>
        <v>8.7426472400000002</v>
      </c>
      <c r="I3" s="19">
        <f t="shared" si="0"/>
        <v>952.91503492024685</v>
      </c>
      <c r="J3" s="4">
        <f>'[1]time_2024-06-25_16-25-03'!B52</f>
        <v>2.6219451</v>
      </c>
      <c r="K3" s="4">
        <f>'[1]time_2024-06-25_16-25-03'!C52</f>
        <v>1.9992217999999999</v>
      </c>
      <c r="L3" s="4">
        <f>'[1]time_2024-06-25_16-25-03'!D52</f>
        <v>2.6938581400000001</v>
      </c>
      <c r="M3" s="8">
        <f>SUM(J3:L3)</f>
        <v>7.3150250400000001</v>
      </c>
      <c r="N3" s="21">
        <f t="shared" si="1"/>
        <v>1138.8887877272393</v>
      </c>
      <c r="O3" s="9">
        <f t="shared" si="2"/>
        <v>0.19516299564163908</v>
      </c>
      <c r="P3" s="9">
        <f t="shared" ref="P3:P11" si="4">((E3+G3)-J3-L3)/(E3+G3)</f>
        <v>0.19345014428248364</v>
      </c>
      <c r="Q3" s="2">
        <v>77</v>
      </c>
    </row>
    <row r="4" spans="1:17" x14ac:dyDescent="0.3">
      <c r="A4" s="16">
        <v>7</v>
      </c>
      <c r="B4" s="16">
        <v>2</v>
      </c>
      <c r="C4" s="2" t="s">
        <v>7</v>
      </c>
      <c r="D4" s="2">
        <v>1400</v>
      </c>
      <c r="E4" s="3">
        <v>6.6633250799999999</v>
      </c>
      <c r="F4" s="3">
        <v>17.037455079999997</v>
      </c>
      <c r="G4" s="3">
        <v>7.0284909199999994</v>
      </c>
      <c r="H4" s="7">
        <f>SUM(E4:G4)</f>
        <v>30.729271079999997</v>
      </c>
      <c r="I4" s="19">
        <f t="shared" si="0"/>
        <v>136.67750169100336</v>
      </c>
      <c r="J4" s="4">
        <v>4.551778259999999</v>
      </c>
      <c r="K4" s="4">
        <v>17.011690479999995</v>
      </c>
      <c r="L4" s="4">
        <v>4.529061819999999</v>
      </c>
      <c r="M4" s="8">
        <f>SUM(J4:L4)</f>
        <v>26.092530559999993</v>
      </c>
      <c r="N4" s="21">
        <f t="shared" si="1"/>
        <v>160.96560624283126</v>
      </c>
      <c r="O4" s="9">
        <f t="shared" si="2"/>
        <v>0.17770374971250033</v>
      </c>
      <c r="P4" s="9">
        <f t="shared" si="4"/>
        <v>0.33676876171867937</v>
      </c>
      <c r="Q4" s="2">
        <v>1234</v>
      </c>
    </row>
    <row r="5" spans="1:17" x14ac:dyDescent="0.3">
      <c r="A5" s="18"/>
      <c r="B5" s="18"/>
      <c r="C5" s="2" t="s">
        <v>24</v>
      </c>
      <c r="D5" s="2">
        <f>1620+200*4</f>
        <v>2420</v>
      </c>
      <c r="E5" s="3">
        <v>6.73058362</v>
      </c>
      <c r="F5" s="3">
        <v>16.801178480000001</v>
      </c>
      <c r="G5" s="3">
        <v>6.3185158000000001</v>
      </c>
      <c r="H5" s="7">
        <f t="shared" si="3"/>
        <v>29.850277900000002</v>
      </c>
      <c r="I5" s="19">
        <f t="shared" si="0"/>
        <v>243.2138161098996</v>
      </c>
      <c r="J5" s="4">
        <v>3.4967972600000001</v>
      </c>
      <c r="K5" s="4">
        <v>16.739685179999999</v>
      </c>
      <c r="L5" s="4">
        <v>4.4068641399999997</v>
      </c>
      <c r="M5" s="8">
        <f>SUM(J5:L5)</f>
        <v>24.643346579999999</v>
      </c>
      <c r="N5" s="21">
        <f t="shared" si="1"/>
        <v>294.60284448103556</v>
      </c>
      <c r="O5" s="9">
        <f t="shared" si="2"/>
        <v>0.21129156720239572</v>
      </c>
      <c r="P5" s="9">
        <f t="shared" si="4"/>
        <v>0.39431364988404694</v>
      </c>
      <c r="Q5" s="2">
        <v>1234</v>
      </c>
    </row>
    <row r="6" spans="1:17" x14ac:dyDescent="0.3">
      <c r="A6" s="17"/>
      <c r="B6" s="17"/>
      <c r="C6" s="2" t="s">
        <v>25</v>
      </c>
      <c r="D6" s="2">
        <f>2777+400</f>
        <v>3177</v>
      </c>
      <c r="E6" s="3">
        <v>6.7760789799999994</v>
      </c>
      <c r="F6" s="3">
        <v>16.658446119999997</v>
      </c>
      <c r="G6" s="3">
        <v>6.1776180600000021</v>
      </c>
      <c r="H6" s="7">
        <f t="shared" si="3"/>
        <v>29.612143159999995</v>
      </c>
      <c r="I6" s="19">
        <f t="shared" si="0"/>
        <v>321.8612022946873</v>
      </c>
      <c r="J6" s="4">
        <v>4.1907167200000002</v>
      </c>
      <c r="K6" s="4">
        <v>16.478673139999998</v>
      </c>
      <c r="L6" s="4">
        <v>4.0811739000000005</v>
      </c>
      <c r="M6" s="8">
        <f t="shared" ref="M6:M11" si="5">SUM(J6:L6)</f>
        <v>24.750563759999999</v>
      </c>
      <c r="N6" s="21">
        <f t="shared" si="1"/>
        <v>385.08213761996348</v>
      </c>
      <c r="O6" s="9">
        <f t="shared" si="2"/>
        <v>0.19642297634678196</v>
      </c>
      <c r="P6" s="9">
        <f t="shared" si="4"/>
        <v>0.36142627124464533</v>
      </c>
      <c r="Q6" s="2">
        <v>1234</v>
      </c>
    </row>
    <row r="7" spans="1:17" x14ac:dyDescent="0.3">
      <c r="A7" s="16">
        <v>10</v>
      </c>
      <c r="B7" s="16">
        <v>3</v>
      </c>
      <c r="C7" s="2" t="s">
        <v>8</v>
      </c>
      <c r="D7" s="2">
        <v>2000</v>
      </c>
      <c r="E7" s="3">
        <v>7.3902966800000014</v>
      </c>
      <c r="F7" s="3">
        <v>16.902934819999995</v>
      </c>
      <c r="G7" s="3">
        <v>9.9984185599999993</v>
      </c>
      <c r="H7" s="7">
        <f t="shared" si="3"/>
        <v>34.291650059999995</v>
      </c>
      <c r="I7" s="19">
        <f t="shared" si="0"/>
        <v>174.9697080630946</v>
      </c>
      <c r="J7" s="4">
        <v>5.8373595599999986</v>
      </c>
      <c r="K7" s="4">
        <v>17.122628420000002</v>
      </c>
      <c r="L7" s="4">
        <v>6.2445531400000007</v>
      </c>
      <c r="M7" s="8">
        <f t="shared" si="5"/>
        <v>29.204541120000002</v>
      </c>
      <c r="N7" s="21">
        <f t="shared" si="1"/>
        <v>205.44750130968671</v>
      </c>
      <c r="O7" s="9">
        <f t="shared" si="2"/>
        <v>0.17418897010219467</v>
      </c>
      <c r="P7" s="9">
        <f t="shared" si="4"/>
        <v>0.30518658030540041</v>
      </c>
      <c r="Q7" s="2">
        <v>99</v>
      </c>
    </row>
    <row r="8" spans="1:17" x14ac:dyDescent="0.3">
      <c r="A8" s="17"/>
      <c r="B8" s="17"/>
      <c r="C8" s="2" t="s">
        <v>9</v>
      </c>
      <c r="D8" s="2">
        <v>3777</v>
      </c>
      <c r="E8" s="3">
        <v>7.6684282200000027</v>
      </c>
      <c r="F8" s="3">
        <v>17.041328839999995</v>
      </c>
      <c r="G8" s="3">
        <v>9.4707650600000015</v>
      </c>
      <c r="H8" s="7">
        <f t="shared" si="3"/>
        <v>34.180522119999999</v>
      </c>
      <c r="I8" s="19">
        <f t="shared" si="0"/>
        <v>331.50459083742049</v>
      </c>
      <c r="J8" s="4">
        <v>4.7226280000000003</v>
      </c>
      <c r="K8" s="4">
        <v>16.905315959999999</v>
      </c>
      <c r="L8" s="4">
        <v>5.5986875600000001</v>
      </c>
      <c r="M8" s="8">
        <f t="shared" si="5"/>
        <v>27.226631519999998</v>
      </c>
      <c r="N8" s="21">
        <f t="shared" si="1"/>
        <v>416.1734069701767</v>
      </c>
      <c r="O8" s="9">
        <f t="shared" si="2"/>
        <v>0.25540767299443001</v>
      </c>
      <c r="P8" s="9">
        <f t="shared" si="4"/>
        <v>0.39779455243998524</v>
      </c>
      <c r="Q8" s="2">
        <v>99</v>
      </c>
    </row>
    <row r="9" spans="1:17" x14ac:dyDescent="0.3">
      <c r="A9" s="16">
        <v>13</v>
      </c>
      <c r="B9" s="16">
        <v>4</v>
      </c>
      <c r="C9" s="2" t="s">
        <v>10</v>
      </c>
      <c r="D9" s="2">
        <v>4377</v>
      </c>
      <c r="E9" s="3">
        <v>9.8152066800000011</v>
      </c>
      <c r="F9" s="3">
        <v>17.200116879999999</v>
      </c>
      <c r="G9" s="3">
        <v>12.286752679999999</v>
      </c>
      <c r="H9" s="7">
        <f t="shared" si="3"/>
        <v>39.302076239999998</v>
      </c>
      <c r="I9" s="19">
        <f t="shared" si="0"/>
        <v>334.10448648603</v>
      </c>
      <c r="J9" s="4">
        <v>5.8478130800000008</v>
      </c>
      <c r="K9" s="4">
        <v>16.977295139999992</v>
      </c>
      <c r="L9" s="4">
        <v>6.5970377599999992</v>
      </c>
      <c r="M9" s="8">
        <f t="shared" si="5"/>
        <v>29.422145979999993</v>
      </c>
      <c r="N9" s="21">
        <f t="shared" si="1"/>
        <v>446.29647371493337</v>
      </c>
      <c r="O9" s="9">
        <f t="shared" si="2"/>
        <v>0.33579910407337343</v>
      </c>
      <c r="P9" s="9">
        <f t="shared" si="4"/>
        <v>0.43693449810053403</v>
      </c>
      <c r="Q9" s="2">
        <v>100</v>
      </c>
    </row>
    <row r="10" spans="1:17" x14ac:dyDescent="0.3">
      <c r="A10" s="17"/>
      <c r="B10" s="17"/>
      <c r="C10" s="2" t="s">
        <v>11</v>
      </c>
      <c r="D10" s="2">
        <v>3620</v>
      </c>
      <c r="E10" s="3">
        <v>9.7809355599999996</v>
      </c>
      <c r="F10" s="3">
        <v>17.001132680000001</v>
      </c>
      <c r="G10" s="3">
        <v>12.4205205</v>
      </c>
      <c r="H10" s="7">
        <f t="shared" si="3"/>
        <v>39.202588740000003</v>
      </c>
      <c r="I10" s="19">
        <f t="shared" si="0"/>
        <v>277.02252195705375</v>
      </c>
      <c r="J10" s="4">
        <v>6.2050049200000004</v>
      </c>
      <c r="K10" s="4">
        <v>16.996555420000004</v>
      </c>
      <c r="L10" s="4">
        <v>6.8621308399999998</v>
      </c>
      <c r="M10" s="8">
        <f t="shared" si="5"/>
        <v>30.063691180000003</v>
      </c>
      <c r="N10" s="21">
        <f t="shared" si="1"/>
        <v>361.23308794578958</v>
      </c>
      <c r="O10" s="9">
        <f t="shared" si="2"/>
        <v>0.30398454751556558</v>
      </c>
      <c r="P10" s="9">
        <f t="shared" si="4"/>
        <v>0.41142888445308573</v>
      </c>
      <c r="Q10" s="2">
        <v>100</v>
      </c>
    </row>
    <row r="11" spans="1:17" x14ac:dyDescent="0.3">
      <c r="A11" s="2">
        <v>15</v>
      </c>
      <c r="B11" s="2">
        <v>4</v>
      </c>
      <c r="C11" s="2" t="s">
        <v>12</v>
      </c>
      <c r="D11" s="2">
        <v>4777</v>
      </c>
      <c r="E11" s="3">
        <v>11.28022502</v>
      </c>
      <c r="F11" s="3">
        <v>18.56699776</v>
      </c>
      <c r="G11" s="3">
        <v>14.44351206</v>
      </c>
      <c r="H11" s="7">
        <f t="shared" si="3"/>
        <v>44.290734839999999</v>
      </c>
      <c r="I11" s="19">
        <f t="shared" si="0"/>
        <v>323.56654392325277</v>
      </c>
      <c r="J11" s="4">
        <v>6.35874424</v>
      </c>
      <c r="K11" s="4">
        <v>17.04985284</v>
      </c>
      <c r="L11" s="4">
        <v>7.8152010799999996</v>
      </c>
      <c r="M11" s="8">
        <f t="shared" si="5"/>
        <v>31.223798160000001</v>
      </c>
      <c r="N11" s="21">
        <f t="shared" si="1"/>
        <v>458.97683320151208</v>
      </c>
      <c r="O11" s="9">
        <f t="shared" si="2"/>
        <v>0.4184928628170454</v>
      </c>
      <c r="P11" s="9">
        <f t="shared" si="4"/>
        <v>0.44899353947214266</v>
      </c>
      <c r="Q11" s="2">
        <v>15</v>
      </c>
    </row>
    <row r="21" spans="1:2" x14ac:dyDescent="0.3">
      <c r="A21" s="6" t="s">
        <v>22</v>
      </c>
      <c r="B21" s="6">
        <v>3</v>
      </c>
    </row>
    <row r="22" spans="1:2" x14ac:dyDescent="0.3">
      <c r="A22" s="6" t="s">
        <v>23</v>
      </c>
      <c r="B22" s="6">
        <v>50</v>
      </c>
    </row>
    <row r="23" spans="1:2" x14ac:dyDescent="0.3">
      <c r="A23" s="6" t="s">
        <v>26</v>
      </c>
      <c r="B23" s="6">
        <v>32</v>
      </c>
    </row>
    <row r="24" spans="1:2" x14ac:dyDescent="0.3">
      <c r="A24" s="6" t="s">
        <v>27</v>
      </c>
      <c r="B24" s="6">
        <v>1E-3</v>
      </c>
    </row>
  </sheetData>
  <mergeCells count="8">
    <mergeCell ref="A7:A8"/>
    <mergeCell ref="B7:B8"/>
    <mergeCell ref="A9:A10"/>
    <mergeCell ref="B9:B10"/>
    <mergeCell ref="A2:A3"/>
    <mergeCell ref="B2:B3"/>
    <mergeCell ref="A4:A6"/>
    <mergeCell ref="B4:B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A075-0FD0-4E05-BE21-45071FA4AF7B}">
  <dimension ref="A1:Q24"/>
  <sheetViews>
    <sheetView topLeftCell="C1" zoomScaleNormal="100" workbookViewId="0">
      <selection activeCell="L18" sqref="L18"/>
    </sheetView>
  </sheetViews>
  <sheetFormatPr defaultRowHeight="14" x14ac:dyDescent="0.3"/>
  <cols>
    <col min="1" max="1" width="15.08203125" bestFit="1" customWidth="1"/>
    <col min="2" max="2" width="19.6640625" bestFit="1" customWidth="1"/>
    <col min="3" max="3" width="14" bestFit="1" customWidth="1"/>
    <col min="4" max="4" width="8.58203125" bestFit="1" customWidth="1"/>
    <col min="5" max="5" width="13.33203125" bestFit="1" customWidth="1"/>
    <col min="6" max="6" width="14.4140625" bestFit="1" customWidth="1"/>
    <col min="7" max="7" width="14.33203125" bestFit="1" customWidth="1"/>
    <col min="8" max="8" width="14.08203125" bestFit="1" customWidth="1"/>
    <col min="9" max="9" width="13.33203125" bestFit="1" customWidth="1"/>
    <col min="10" max="10" width="13.4140625" bestFit="1" customWidth="1"/>
    <col min="11" max="11" width="14.6640625" bestFit="1" customWidth="1"/>
    <col min="12" max="12" width="14.4140625" bestFit="1" customWidth="1"/>
    <col min="13" max="13" width="14.33203125" bestFit="1" customWidth="1"/>
    <col min="14" max="14" width="12.9140625" bestFit="1" customWidth="1"/>
    <col min="15" max="15" width="14.4140625" style="12" bestFit="1" customWidth="1"/>
    <col min="16" max="16" width="31.25" bestFit="1" customWidth="1"/>
    <col min="17" max="17" width="5.6640625" bestFit="1" customWidth="1"/>
  </cols>
  <sheetData>
    <row r="1" spans="1:17" x14ac:dyDescent="0.3">
      <c r="A1" s="2" t="s">
        <v>0</v>
      </c>
      <c r="B1" s="2" t="s">
        <v>6</v>
      </c>
      <c r="C1" s="2" t="s">
        <v>1</v>
      </c>
      <c r="D1" s="2" t="s">
        <v>21</v>
      </c>
      <c r="E1" s="3" t="s">
        <v>13</v>
      </c>
      <c r="F1" s="3" t="s">
        <v>15</v>
      </c>
      <c r="G1" s="3" t="s">
        <v>14</v>
      </c>
      <c r="H1" s="7" t="s">
        <v>16</v>
      </c>
      <c r="I1" s="3" t="s">
        <v>28</v>
      </c>
      <c r="J1" s="4" t="s">
        <v>17</v>
      </c>
      <c r="K1" s="4" t="s">
        <v>19</v>
      </c>
      <c r="L1" s="4" t="s">
        <v>18</v>
      </c>
      <c r="M1" s="8" t="s">
        <v>20</v>
      </c>
      <c r="N1" s="4" t="s">
        <v>29</v>
      </c>
      <c r="O1" s="10" t="s">
        <v>2</v>
      </c>
      <c r="P1" s="9" t="s">
        <v>30</v>
      </c>
      <c r="Q1" s="2" t="s">
        <v>5</v>
      </c>
    </row>
    <row r="2" spans="1:17" x14ac:dyDescent="0.3">
      <c r="A2" s="16">
        <v>5</v>
      </c>
      <c r="B2" s="16">
        <v>2</v>
      </c>
      <c r="C2" s="14" t="s">
        <v>3</v>
      </c>
      <c r="D2" s="2">
        <v>1000</v>
      </c>
      <c r="E2" s="3">
        <v>3.7201091899999987</v>
      </c>
      <c r="F2" s="3">
        <v>16.723166970000005</v>
      </c>
      <c r="G2" s="3">
        <v>4.9654514399999998</v>
      </c>
      <c r="H2" s="7">
        <f>SUM(E2:G2)</f>
        <v>25.408727600000002</v>
      </c>
      <c r="I2" s="3">
        <f>D2/H2*3</f>
        <v>118.06966673923489</v>
      </c>
      <c r="J2" s="4">
        <v>3.0769838900000002</v>
      </c>
      <c r="K2" s="4">
        <v>16.754388550000002</v>
      </c>
      <c r="L2" s="5">
        <v>3.79303598</v>
      </c>
      <c r="M2" s="8">
        <f>SUM(J2:L2)</f>
        <v>23.624408420000002</v>
      </c>
      <c r="N2" s="4">
        <f>D2/M2*3</f>
        <v>126.98730680004047</v>
      </c>
      <c r="O2" s="11">
        <f>(H2-M2)/H2</f>
        <v>7.022465697967499E-2</v>
      </c>
      <c r="P2" s="9">
        <f>((E2+G2)-(J2+L2))/(E2+G2)</f>
        <v>0.20902977220941904</v>
      </c>
      <c r="Q2" s="2">
        <v>77</v>
      </c>
    </row>
    <row r="3" spans="1:17" x14ac:dyDescent="0.3">
      <c r="A3" s="17"/>
      <c r="B3" s="17"/>
      <c r="C3" s="13" t="s">
        <v>4</v>
      </c>
      <c r="D3" s="2">
        <v>2777</v>
      </c>
      <c r="E3" s="3">
        <v>4.0349758600000003</v>
      </c>
      <c r="F3" s="3">
        <v>2.1445507199999998</v>
      </c>
      <c r="G3" s="3">
        <v>4.9210100800000003</v>
      </c>
      <c r="H3" s="7">
        <f>SUM(E3:G3)</f>
        <v>11.10053666</v>
      </c>
      <c r="I3" s="3">
        <f>D3/H3*3</f>
        <v>750.50425535011937</v>
      </c>
      <c r="J3" s="4">
        <v>2.7700429000000009</v>
      </c>
      <c r="K3" s="4">
        <v>2.0146998100000006</v>
      </c>
      <c r="L3" s="4">
        <v>2.7884799699999996</v>
      </c>
      <c r="M3" s="8">
        <f>SUM(J3:L3)</f>
        <v>7.5732226800000007</v>
      </c>
      <c r="N3" s="4">
        <f>D3/M3*3</f>
        <v>1100.0600869694749</v>
      </c>
      <c r="O3" s="15">
        <f>(H3-M3)/H3</f>
        <v>0.31776067122145779</v>
      </c>
      <c r="P3" s="9">
        <f>((E3+G3)-(J3+L3))/(E3+G3)</f>
        <v>0.37935109464899408</v>
      </c>
      <c r="Q3" s="2">
        <v>77</v>
      </c>
    </row>
    <row r="4" spans="1:17" x14ac:dyDescent="0.3">
      <c r="A4" s="16">
        <v>7</v>
      </c>
      <c r="B4" s="16">
        <v>2</v>
      </c>
      <c r="C4" s="2" t="s">
        <v>7</v>
      </c>
      <c r="D4" s="2">
        <v>1400</v>
      </c>
      <c r="E4" s="3">
        <v>5.2874820899999975</v>
      </c>
      <c r="F4" s="3">
        <v>16.917219119999999</v>
      </c>
      <c r="G4" s="3">
        <v>7.2364098000000006</v>
      </c>
      <c r="H4" s="7">
        <f>SUM(E4:G4)</f>
        <v>29.441111009999997</v>
      </c>
      <c r="I4" s="3">
        <f>D4/H4*3</f>
        <v>142.65765984759963</v>
      </c>
      <c r="J4" s="4">
        <v>5.2031430299999997</v>
      </c>
      <c r="K4" s="4">
        <v>17.068447280000001</v>
      </c>
      <c r="L4" s="4">
        <v>5.7750582799999997</v>
      </c>
      <c r="M4" s="8">
        <f>SUM(J4:L4)</f>
        <v>28.04664859</v>
      </c>
      <c r="N4" s="4">
        <f>D4/M4*3</f>
        <v>149.75051249073323</v>
      </c>
      <c r="O4" s="11">
        <f>(H4-M4)/H4</f>
        <v>4.7364463233957169E-2</v>
      </c>
      <c r="P4" s="9">
        <f>((E4+G4)-(J4+L4))/(E4+G4)</f>
        <v>0.12341934867979756</v>
      </c>
      <c r="Q4" s="2">
        <v>1234</v>
      </c>
    </row>
    <row r="5" spans="1:17" x14ac:dyDescent="0.3">
      <c r="A5" s="18"/>
      <c r="B5" s="18"/>
      <c r="C5" s="13" t="s">
        <v>24</v>
      </c>
      <c r="D5" s="2">
        <f>1620+200*4</f>
        <v>2420</v>
      </c>
      <c r="E5" s="3">
        <v>6.33050289</v>
      </c>
      <c r="F5" s="3">
        <v>17.339979500000002</v>
      </c>
      <c r="G5" s="3">
        <v>7.6971484299999977</v>
      </c>
      <c r="H5" s="7">
        <f t="shared" ref="H5:H11" si="0">SUM(E5:G5)</f>
        <v>31.367630820000002</v>
      </c>
      <c r="I5" s="3">
        <f t="shared" ref="I5:I11" si="1">D5/H5*3</f>
        <v>231.44878367323247</v>
      </c>
      <c r="J5" s="4">
        <v>4.6410016600000006</v>
      </c>
      <c r="K5" s="4">
        <v>17.025515929999994</v>
      </c>
      <c r="L5" s="4">
        <v>6.9719197700000066</v>
      </c>
      <c r="M5" s="8">
        <f t="shared" ref="M5:M11" si="2">SUM(J5:L5)</f>
        <v>28.638437360000001</v>
      </c>
      <c r="N5" s="4">
        <f t="shared" ref="N5:N11" si="3">D5/M5*3</f>
        <v>253.50545173739886</v>
      </c>
      <c r="O5" s="15">
        <f t="shared" ref="O5:O11" si="4">(H5-M5)/H5</f>
        <v>8.7006681367209515E-2</v>
      </c>
      <c r="P5" s="9">
        <f t="shared" ref="P5:P11" si="5">((E5+G5)-(J5+L5))/(E5+G5)</f>
        <v>0.17214071229138522</v>
      </c>
      <c r="Q5" s="2">
        <v>1234</v>
      </c>
    </row>
    <row r="6" spans="1:17" x14ac:dyDescent="0.3">
      <c r="A6" s="17"/>
      <c r="B6" s="17"/>
      <c r="C6" s="2" t="s">
        <v>25</v>
      </c>
      <c r="D6" s="2">
        <f>2777+400</f>
        <v>3177</v>
      </c>
      <c r="E6" s="3"/>
      <c r="F6" s="3"/>
      <c r="G6" s="3"/>
      <c r="H6" s="7">
        <f t="shared" si="0"/>
        <v>0</v>
      </c>
      <c r="I6" s="3" t="e">
        <f t="shared" si="1"/>
        <v>#DIV/0!</v>
      </c>
      <c r="J6" s="4"/>
      <c r="K6" s="4"/>
      <c r="L6" s="4"/>
      <c r="M6" s="8">
        <f t="shared" si="2"/>
        <v>0</v>
      </c>
      <c r="N6" s="4" t="e">
        <f t="shared" si="3"/>
        <v>#DIV/0!</v>
      </c>
      <c r="O6" s="11" t="e">
        <f t="shared" si="4"/>
        <v>#DIV/0!</v>
      </c>
      <c r="P6" s="9" t="e">
        <f t="shared" si="5"/>
        <v>#DIV/0!</v>
      </c>
      <c r="Q6" s="2">
        <v>1234</v>
      </c>
    </row>
    <row r="7" spans="1:17" x14ac:dyDescent="0.3">
      <c r="A7" s="16">
        <v>10</v>
      </c>
      <c r="B7" s="16">
        <v>3</v>
      </c>
      <c r="C7" s="13" t="s">
        <v>8</v>
      </c>
      <c r="D7" s="2">
        <v>2000</v>
      </c>
      <c r="E7" s="3">
        <v>8.4085967600000018</v>
      </c>
      <c r="F7" s="3">
        <v>17.322554319999998</v>
      </c>
      <c r="G7" s="3">
        <v>11.143573179999997</v>
      </c>
      <c r="H7" s="7">
        <f t="shared" si="0"/>
        <v>36.874724259999994</v>
      </c>
      <c r="I7" s="3">
        <f t="shared" si="1"/>
        <v>162.71308112555906</v>
      </c>
      <c r="J7" s="4">
        <v>7.7863977999999952</v>
      </c>
      <c r="K7" s="4">
        <v>17.128525539999995</v>
      </c>
      <c r="L7" s="4">
        <v>8.3197631200000011</v>
      </c>
      <c r="M7" s="8">
        <f t="shared" si="2"/>
        <v>33.234686459999992</v>
      </c>
      <c r="N7" s="4">
        <f t="shared" si="3"/>
        <v>180.53427425052956</v>
      </c>
      <c r="O7" s="15">
        <f t="shared" si="4"/>
        <v>9.8713627641916976E-2</v>
      </c>
      <c r="P7" s="9">
        <f t="shared" si="5"/>
        <v>0.17624688362339397</v>
      </c>
      <c r="Q7" s="2">
        <v>99</v>
      </c>
    </row>
    <row r="8" spans="1:17" x14ac:dyDescent="0.3">
      <c r="A8" s="17"/>
      <c r="B8" s="17"/>
      <c r="C8" s="2" t="s">
        <v>9</v>
      </c>
      <c r="D8" s="2">
        <v>3777</v>
      </c>
      <c r="E8" s="3"/>
      <c r="F8" s="3"/>
      <c r="G8" s="3"/>
      <c r="H8" s="7">
        <f t="shared" si="0"/>
        <v>0</v>
      </c>
      <c r="I8" s="3" t="e">
        <f t="shared" si="1"/>
        <v>#DIV/0!</v>
      </c>
      <c r="J8" s="4"/>
      <c r="K8" s="4"/>
      <c r="L8" s="4"/>
      <c r="M8" s="8">
        <f t="shared" si="2"/>
        <v>0</v>
      </c>
      <c r="N8" s="4" t="e">
        <f t="shared" si="3"/>
        <v>#DIV/0!</v>
      </c>
      <c r="O8" s="11" t="e">
        <f t="shared" si="4"/>
        <v>#DIV/0!</v>
      </c>
      <c r="P8" s="9" t="e">
        <f t="shared" si="5"/>
        <v>#DIV/0!</v>
      </c>
      <c r="Q8" s="2">
        <v>99</v>
      </c>
    </row>
    <row r="9" spans="1:17" x14ac:dyDescent="0.3">
      <c r="A9" s="16">
        <v>13</v>
      </c>
      <c r="B9" s="16">
        <v>4</v>
      </c>
      <c r="C9" s="2" t="s">
        <v>10</v>
      </c>
      <c r="D9" s="2">
        <v>4377</v>
      </c>
      <c r="E9" s="3"/>
      <c r="F9" s="3"/>
      <c r="G9" s="3"/>
      <c r="H9" s="7">
        <f t="shared" si="0"/>
        <v>0</v>
      </c>
      <c r="I9" s="3" t="e">
        <f t="shared" si="1"/>
        <v>#DIV/0!</v>
      </c>
      <c r="J9" s="4"/>
      <c r="K9" s="4"/>
      <c r="L9" s="4"/>
      <c r="M9" s="8">
        <f t="shared" si="2"/>
        <v>0</v>
      </c>
      <c r="N9" s="4" t="e">
        <f t="shared" si="3"/>
        <v>#DIV/0!</v>
      </c>
      <c r="O9" s="11" t="e">
        <f t="shared" si="4"/>
        <v>#DIV/0!</v>
      </c>
      <c r="P9" s="9" t="e">
        <f t="shared" si="5"/>
        <v>#DIV/0!</v>
      </c>
      <c r="Q9" s="2">
        <v>100</v>
      </c>
    </row>
    <row r="10" spans="1:17" x14ac:dyDescent="0.3">
      <c r="A10" s="17"/>
      <c r="B10" s="17"/>
      <c r="C10" s="2" t="s">
        <v>11</v>
      </c>
      <c r="D10" s="2">
        <v>3620</v>
      </c>
      <c r="E10" s="3"/>
      <c r="F10" s="3"/>
      <c r="G10" s="3"/>
      <c r="H10" s="7">
        <f t="shared" si="0"/>
        <v>0</v>
      </c>
      <c r="I10" s="3" t="e">
        <f t="shared" si="1"/>
        <v>#DIV/0!</v>
      </c>
      <c r="J10" s="4"/>
      <c r="K10" s="4"/>
      <c r="L10" s="4"/>
      <c r="M10" s="8">
        <f t="shared" si="2"/>
        <v>0</v>
      </c>
      <c r="N10" s="4" t="e">
        <f t="shared" si="3"/>
        <v>#DIV/0!</v>
      </c>
      <c r="O10" s="11" t="e">
        <f t="shared" si="4"/>
        <v>#DIV/0!</v>
      </c>
      <c r="P10" s="9" t="e">
        <f t="shared" si="5"/>
        <v>#DIV/0!</v>
      </c>
      <c r="Q10" s="2">
        <v>100</v>
      </c>
    </row>
    <row r="11" spans="1:17" x14ac:dyDescent="0.3">
      <c r="A11" s="2">
        <v>15</v>
      </c>
      <c r="B11" s="2">
        <v>4</v>
      </c>
      <c r="C11" s="13" t="s">
        <v>12</v>
      </c>
      <c r="D11" s="2">
        <v>4777</v>
      </c>
      <c r="E11" s="3">
        <v>12.684124749999999</v>
      </c>
      <c r="F11" s="3">
        <v>18.113951989999997</v>
      </c>
      <c r="G11" s="3">
        <v>15.875582239999998</v>
      </c>
      <c r="H11" s="7">
        <f t="shared" si="0"/>
        <v>46.673658979999992</v>
      </c>
      <c r="I11" s="3">
        <f t="shared" si="1"/>
        <v>307.04685069025635</v>
      </c>
      <c r="J11" s="4">
        <v>6.7327718400000034</v>
      </c>
      <c r="K11" s="4">
        <v>17.329878260000001</v>
      </c>
      <c r="L11" s="4">
        <v>9.1737566400000006</v>
      </c>
      <c r="M11" s="8">
        <f t="shared" si="2"/>
        <v>33.236406740000007</v>
      </c>
      <c r="N11" s="4">
        <f t="shared" si="3"/>
        <v>431.1837952913437</v>
      </c>
      <c r="O11" s="15">
        <f t="shared" si="4"/>
        <v>0.28789798215215884</v>
      </c>
      <c r="P11" s="9">
        <f t="shared" si="5"/>
        <v>0.44304300861456397</v>
      </c>
      <c r="Q11" s="2">
        <v>15</v>
      </c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6" t="s">
        <v>22</v>
      </c>
      <c r="B21" s="6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6" t="s">
        <v>23</v>
      </c>
      <c r="B22" s="6">
        <v>50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6" t="s">
        <v>26</v>
      </c>
      <c r="B23" s="6">
        <v>32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6" t="s">
        <v>27</v>
      </c>
      <c r="B24" s="6">
        <v>1E-3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mergeCells count="8">
    <mergeCell ref="A9:A10"/>
    <mergeCell ref="B9:B10"/>
    <mergeCell ref="A2:A3"/>
    <mergeCell ref="B2:B3"/>
    <mergeCell ref="A4:A6"/>
    <mergeCell ref="B4:B6"/>
    <mergeCell ref="A7:A8"/>
    <mergeCell ref="B7:B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谢灏</dc:creator>
  <cp:lastModifiedBy>灏 谢</cp:lastModifiedBy>
  <dcterms:created xsi:type="dcterms:W3CDTF">2015-06-05T18:19:34Z</dcterms:created>
  <dcterms:modified xsi:type="dcterms:W3CDTF">2024-07-14T10:06:31Z</dcterms:modified>
</cp:coreProperties>
</file>